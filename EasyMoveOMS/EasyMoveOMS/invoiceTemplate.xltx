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roma\Desktop\!!!EasyRep\EasyMoveOMS\EasyMoveOMS\Resources\"/>
    </mc:Choice>
  </mc:AlternateContent>
  <bookViews>
    <workbookView xWindow="0" yWindow="0" windowWidth="25125" windowHeight="1185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8" i="1" l="1"/>
  <c r="E21" i="1"/>
  <c r="E22" i="1"/>
  <c r="E23" i="1"/>
  <c r="E20" i="1"/>
  <c r="E24" i="1" l="1"/>
  <c r="E25" i="1" s="1"/>
  <c r="E26" i="1" s="1"/>
  <c r="E27" i="1" l="1"/>
  <c r="E29" i="1" l="1"/>
</calcChain>
</file>

<file path=xl/sharedStrings.xml><?xml version="1.0" encoding="utf-8"?>
<sst xmlns="http://schemas.openxmlformats.org/spreadsheetml/2006/main" count="21" uniqueCount="21">
  <si>
    <t>Easy Move</t>
  </si>
  <si>
    <t>(9290-8524 QUEBEC INC</t>
  </si>
  <si>
    <t>NIR : R-117271-8)</t>
  </si>
  <si>
    <t>12 Rue Saint-Luc</t>
  </si>
  <si>
    <t>Châteauguay    QC   J6K 1Z8</t>
  </si>
  <si>
    <t>Tél.:  (514) 578-6903</t>
  </si>
  <si>
    <t>easymove.montreal@gmail.com</t>
  </si>
  <si>
    <t>www.easymovemontreal.com</t>
  </si>
  <si>
    <t>Invoice to:</t>
  </si>
  <si>
    <t>Description</t>
  </si>
  <si>
    <t>Price</t>
  </si>
  <si>
    <t>Quantity</t>
  </si>
  <si>
    <t>Amount</t>
  </si>
  <si>
    <t>Moving (pay fixed)</t>
  </si>
  <si>
    <t>Travel (pay per hour)</t>
  </si>
  <si>
    <t>Discount</t>
  </si>
  <si>
    <t>Total before taxes</t>
  </si>
  <si>
    <t>Total</t>
  </si>
  <si>
    <t>TPS/GST: 832874234</t>
  </si>
  <si>
    <t>TVQ/OST: 1220830302</t>
  </si>
  <si>
    <t>Invoice # from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</si>
</sst>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9" formatCode="0.0%"/>
    <numFmt numFmtId="171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rgb="FFB2B2B2"/>
      </left>
      <right style="hair">
        <color rgb="FFB2B2B2"/>
      </right>
      <top style="hair">
        <color rgb="FFB2B2B2"/>
      </top>
      <bottom style="hair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4" applyAlignment="1">
      <alignment vertical="center"/>
    </xf>
    <xf numFmtId="0" fontId="5" fillId="0" borderId="0" xfId="4"/>
    <xf numFmtId="0" fontId="4" fillId="0" borderId="0" xfId="0" applyFont="1"/>
    <xf numFmtId="9" fontId="0" fillId="0" borderId="0" xfId="2" applyFont="1"/>
    <xf numFmtId="169" fontId="0" fillId="0" borderId="0" xfId="0" applyNumberFormat="1"/>
    <xf numFmtId="171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2" xfId="0" applyBorder="1" applyAlignment="1">
      <alignment horizontal="left"/>
    </xf>
    <xf numFmtId="44" fontId="0" fillId="0" borderId="2" xfId="1" applyFont="1" applyBorder="1"/>
    <xf numFmtId="0" fontId="0" fillId="0" borderId="2" xfId="0" applyBorder="1"/>
    <xf numFmtId="44" fontId="0" fillId="0" borderId="2" xfId="0" applyNumberFormat="1" applyBorder="1"/>
    <xf numFmtId="44" fontId="2" fillId="0" borderId="2" xfId="0" applyNumberFormat="1" applyFont="1" applyBorder="1"/>
    <xf numFmtId="44" fontId="0" fillId="2" borderId="4" xfId="3" applyNumberFormat="1" applyFont="1" applyBorder="1"/>
    <xf numFmtId="44" fontId="2" fillId="0" borderId="5" xfId="0" applyNumberFormat="1" applyFont="1" applyBorder="1"/>
    <xf numFmtId="44" fontId="0" fillId="0" borderId="3" xfId="0" applyNumberFormat="1" applyBorder="1"/>
    <xf numFmtId="0" fontId="6" fillId="0" borderId="0" xfId="0" applyFont="1" applyAlignment="1">
      <alignment horizontal="center"/>
    </xf>
  </cellXfs>
  <cellStyles count="5">
    <cellStyle name="Currency" xfId="1" builtinId="4"/>
    <cellStyle name="Hyperlink" xfId="4" builtinId="8"/>
    <cellStyle name="Normal" xfId="0" builtinId="0"/>
    <cellStyle name="Note" xfId="3" builtinId="1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190499</xdr:colOff>
      <xdr:row>0</xdr:row>
      <xdr:rowOff>0</xdr:rowOff>
    </xdr:from>
    <xdr:to>
      <xdr:col>4</xdr:col>
      <xdr:colOff>457199</xdr:colOff>
      <xdr:row>8</xdr:row>
      <xdr:rowOff>82166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49" y="66675"/>
          <a:ext cx="1571625" cy="16061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easymovemontreal.com/" TargetMode="External"/><Relationship Id="rId1" Type="http://schemas.openxmlformats.org/officeDocument/2006/relationships/hyperlink" Target="mailto:easymove.montreal@gmail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9"/>
  <sheetViews>
    <sheetView tabSelected="1" zoomScaleNormal="100" workbookViewId="0">
      <selection activeCell="G32" sqref="G32"/>
    </sheetView>
  </sheetViews>
  <sheetFormatPr defaultRowHeight="15" x14ac:dyDescent="0.25"/>
  <cols>
    <col min="1" max="1" width="42.42578125" customWidth="1"/>
    <col min="2" max="2" width="10" customWidth="1"/>
    <col min="3" max="3" width="10.85546875" customWidth="1"/>
    <col min="4" max="4" width="8.7109375" bestFit="1" customWidth="1"/>
    <col min="5" max="5" width="13.7109375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 t="s">
        <v>2</v>
      </c>
    </row>
    <row r="4" spans="1:1" x14ac:dyDescent="0.25">
      <c r="A4" s="2" t="s">
        <v>3</v>
      </c>
    </row>
    <row r="5" spans="1:1" x14ac:dyDescent="0.25">
      <c r="A5" s="2" t="s">
        <v>4</v>
      </c>
    </row>
    <row r="6" spans="1:1" x14ac:dyDescent="0.25">
      <c r="A6" s="2" t="s">
        <v>5</v>
      </c>
    </row>
    <row r="7" spans="1:1" x14ac:dyDescent="0.25">
      <c r="A7" s="3" t="s">
        <v>6</v>
      </c>
    </row>
    <row r="8" spans="1:1" x14ac:dyDescent="0.25">
      <c r="A8" s="4" t="s">
        <v>7</v>
      </c>
    </row>
    <row r="10" spans="1:1" x14ac:dyDescent="0.25">
      <c r="A10" s="5" t="s">
        <v>8</v>
      </c>
    </row>
    <row r="17" spans="1:5" ht="15" customHeight="1" x14ac:dyDescent="0.3">
      <c r="A17" s="21" t="s">
        <v>20</v>
      </c>
      <c r="B17" s="21"/>
      <c r="C17" s="21"/>
      <c r="D17" s="21"/>
      <c r="E17" s="21"/>
    </row>
    <row r="19" spans="1:5" x14ac:dyDescent="0.25">
      <c r="A19" s="11" t="s">
        <v>9</v>
      </c>
      <c r="B19" s="11"/>
      <c r="C19" s="12" t="s">
        <v>10</v>
      </c>
      <c r="D19" s="12" t="s">
        <v>11</v>
      </c>
      <c r="E19" s="12" t="s">
        <v>12</v>
      </c>
    </row>
    <row r="20" spans="1:5" x14ac:dyDescent="0.25">
      <c r="A20" s="13" t="s">
        <v>13</v>
      </c>
      <c r="B20" s="13"/>
      <c r="C20" s="14">
        <v>350</v>
      </c>
      <c r="D20" s="15">
        <v>1</v>
      </c>
      <c r="E20" s="16">
        <f>ROUND(C20*D20,2)</f>
        <v>350</v>
      </c>
    </row>
    <row r="21" spans="1:5" x14ac:dyDescent="0.25">
      <c r="A21" s="13" t="s">
        <v>14</v>
      </c>
      <c r="B21" s="13"/>
      <c r="C21" s="14">
        <v>85</v>
      </c>
      <c r="D21" s="15">
        <v>2</v>
      </c>
      <c r="E21" s="16">
        <f t="shared" ref="E21:E23" si="0">ROUND(C21*D21,2)</f>
        <v>170</v>
      </c>
    </row>
    <row r="22" spans="1:5" x14ac:dyDescent="0.25">
      <c r="A22" s="13"/>
      <c r="B22" s="13"/>
      <c r="C22" s="14"/>
      <c r="D22" s="15"/>
      <c r="E22" s="16">
        <f t="shared" si="0"/>
        <v>0</v>
      </c>
    </row>
    <row r="23" spans="1:5" x14ac:dyDescent="0.25">
      <c r="A23" s="13"/>
      <c r="B23" s="13"/>
      <c r="C23" s="14"/>
      <c r="D23" s="15"/>
      <c r="E23" s="16">
        <f t="shared" si="0"/>
        <v>0</v>
      </c>
    </row>
    <row r="24" spans="1:5" ht="15" hidden="1" customHeight="1" x14ac:dyDescent="0.25">
      <c r="E24" s="18">
        <f>SUM(E20:E23)</f>
        <v>520</v>
      </c>
    </row>
    <row r="25" spans="1:5" x14ac:dyDescent="0.25">
      <c r="B25" s="9" t="s">
        <v>15</v>
      </c>
      <c r="C25" s="9"/>
      <c r="D25" s="6"/>
      <c r="E25" s="20">
        <f>E24*D25*-1</f>
        <v>0</v>
      </c>
    </row>
    <row r="26" spans="1:5" x14ac:dyDescent="0.25">
      <c r="B26" s="10" t="s">
        <v>16</v>
      </c>
      <c r="C26" s="10"/>
      <c r="E26" s="19">
        <f>E24+E25</f>
        <v>520</v>
      </c>
    </row>
    <row r="27" spans="1:5" x14ac:dyDescent="0.25">
      <c r="B27" s="9" t="s">
        <v>18</v>
      </c>
      <c r="C27" s="9"/>
      <c r="D27" s="7">
        <v>0.05</v>
      </c>
      <c r="E27" s="16">
        <f>ROUND(E26*D27,2)</f>
        <v>26</v>
      </c>
    </row>
    <row r="28" spans="1:5" x14ac:dyDescent="0.25">
      <c r="B28" s="9" t="s">
        <v>19</v>
      </c>
      <c r="C28" s="9"/>
      <c r="D28" s="8">
        <v>9.9750000000000005E-2</v>
      </c>
      <c r="E28" s="16">
        <f>ROUND(E26*D28,2)</f>
        <v>51.87</v>
      </c>
    </row>
    <row r="29" spans="1:5" x14ac:dyDescent="0.25">
      <c r="B29" s="10" t="s">
        <v>17</v>
      </c>
      <c r="C29" s="10"/>
      <c r="E29" s="17">
        <f>E26+E27+E28</f>
        <v>597.87</v>
      </c>
    </row>
  </sheetData>
  <mergeCells count="11">
    <mergeCell ref="A17:E17"/>
    <mergeCell ref="B25:C25"/>
    <mergeCell ref="B26:C26"/>
    <mergeCell ref="B27:C27"/>
    <mergeCell ref="B28:C28"/>
    <mergeCell ref="B29:C29"/>
    <mergeCell ref="A19:B19"/>
    <mergeCell ref="A20:B20"/>
    <mergeCell ref="A21:B21"/>
    <mergeCell ref="A22:B22"/>
    <mergeCell ref="A23:B23"/>
  </mergeCells>
  <hyperlinks>
    <hyperlink ref="A7" r:id="rId1" display="mailto:easymove.montreal@gmail.com"/>
    <hyperlink ref="A8" r:id="rId2" display="http://www.easymovemontreal.com/"/>
  </hyperlinks>
  <pageMargins left="1.3020833333333333" right="0.34375" top="0.75" bottom="0.75" header="0.3" footer="0.3"/>
  <pageSetup orientation="portrait" horizontalDpi="4294967294" verticalDpi="0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123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</dc:creator>
  <cp:lastModifiedBy>r</cp:lastModifiedBy>
  <cp:lastPrinted>2018-04-21T07:00:51Z</cp:lastPrinted>
  <dcterms:created xsi:type="dcterms:W3CDTF">2018-04-21T06:22:58Z</dcterms:created>
  <dcterms:modified xsi:type="dcterms:W3CDTF">2018-04-21T07:02:11Z</dcterms:modified>
</cp:coreProperties>
</file>